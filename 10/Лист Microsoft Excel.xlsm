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filterPrivacy="1" codeName="ЭтаКнига" defaultThemeVersion="124226"/>
  <xr:revisionPtr revIDLastSave="0" documentId="12_ncr:500000_{745E9E77-76A7-445F-A273-F6324AE6E7A0}" xr6:coauthVersionLast="32" xr6:coauthVersionMax="32" xr10:uidLastSave="{00000000-0000-0000-0000-000000000000}"/>
  <bookViews>
    <workbookView xWindow="0" yWindow="0" windowWidth="20490" windowHeight="7545" activeTab="1" xr2:uid="{00000000-000D-0000-FFFF-FFFF00000000}"/>
  </bookViews>
  <sheets>
    <sheet name="Типография" sheetId="1" r:id="rId1"/>
    <sheet name="Макрос" sheetId="2" r:id="rId2"/>
  </sheets>
  <calcPr calcId="162913"/>
</workbook>
</file>

<file path=xl/calcChain.xml><?xml version="1.0" encoding="utf-8"?>
<calcChain xmlns="http://schemas.openxmlformats.org/spreadsheetml/2006/main">
  <c r="J2" i="1" l="1"/>
  <c r="L3" i="1" l="1"/>
  <c r="L9" i="1"/>
  <c r="L8" i="1"/>
  <c r="L7" i="1"/>
  <c r="L6" i="1"/>
  <c r="L5" i="1"/>
  <c r="L4" i="1"/>
  <c r="J9" i="1"/>
  <c r="J8" i="1"/>
  <c r="J7" i="1"/>
  <c r="J6" i="1"/>
  <c r="J4" i="1"/>
  <c r="J5" i="1"/>
  <c r="J3" i="1"/>
  <c r="L2" i="1"/>
  <c r="M2" i="1" l="1"/>
  <c r="O2" i="1" s="1"/>
  <c r="M6" i="1"/>
  <c r="O6" i="1" s="1"/>
  <c r="M9" i="1"/>
  <c r="O9" i="1" s="1"/>
  <c r="M5" i="1"/>
  <c r="O5" i="1" s="1"/>
  <c r="M8" i="1"/>
  <c r="O8" i="1" s="1"/>
  <c r="M4" i="1"/>
  <c r="O4" i="1" s="1"/>
  <c r="M7" i="1"/>
  <c r="N7" i="1" s="1"/>
  <c r="M3" i="1"/>
  <c r="N3" i="1" s="1"/>
  <c r="N2" i="1" l="1"/>
  <c r="P2" i="1" s="1"/>
  <c r="N6" i="1"/>
  <c r="P6" i="1" s="1"/>
  <c r="N4" i="1"/>
  <c r="P4" i="1" s="1"/>
  <c r="N9" i="1"/>
  <c r="P9" i="1" s="1"/>
  <c r="N8" i="1"/>
  <c r="P8" i="1" s="1"/>
  <c r="O7" i="1"/>
  <c r="P7" i="1" s="1"/>
  <c r="N5" i="1"/>
  <c r="P5" i="1" s="1"/>
  <c r="O3" i="1"/>
  <c r="P3" i="1" s="1"/>
</calcChain>
</file>

<file path=xl/sharedStrings.xml><?xml version="1.0" encoding="utf-8"?>
<sst xmlns="http://schemas.openxmlformats.org/spreadsheetml/2006/main" count="112" uniqueCount="41">
  <si>
    <t>Автор</t>
  </si>
  <si>
    <t>Название</t>
  </si>
  <si>
    <t>Издательство</t>
  </si>
  <si>
    <t>Количество машинописных страниц</t>
  </si>
  <si>
    <t>Количество печатных листов</t>
  </si>
  <si>
    <t>Тираж</t>
  </si>
  <si>
    <t>Тип бумаги</t>
  </si>
  <si>
    <t>Цена печатного листа</t>
  </si>
  <si>
    <t>Тип переплета</t>
  </si>
  <si>
    <t>Цена переплета</t>
  </si>
  <si>
    <t>Затраты на материалы</t>
  </si>
  <si>
    <t>Затраты на амортизацию оборудования</t>
  </si>
  <si>
    <t>Заработная плата</t>
  </si>
  <si>
    <t>Стоимость</t>
  </si>
  <si>
    <t>Количество таблиц</t>
  </si>
  <si>
    <t>Количество рисунков</t>
  </si>
  <si>
    <t>Офсетная</t>
  </si>
  <si>
    <t>Твердый 7Б</t>
  </si>
  <si>
    <t>Твердый 7БЦ</t>
  </si>
  <si>
    <t>Мягкий КБС</t>
  </si>
  <si>
    <t>Типографская</t>
  </si>
  <si>
    <t>Газетная</t>
  </si>
  <si>
    <t>Твердый 7Б и 7Т</t>
  </si>
  <si>
    <t>АГРАФ</t>
  </si>
  <si>
    <t>Айрис-пресс</t>
  </si>
  <si>
    <t>Парад</t>
  </si>
  <si>
    <t>Пресс-бук</t>
  </si>
  <si>
    <t>Профиздат</t>
  </si>
  <si>
    <t>Альфа-книга</t>
  </si>
  <si>
    <t>Комсомольская правда</t>
  </si>
  <si>
    <t>РИПОЛ классик</t>
  </si>
  <si>
    <t>Эрих Мария Ремарк</t>
  </si>
  <si>
    <t>Искра жизни</t>
  </si>
  <si>
    <t>Возлюби ближнего своего</t>
  </si>
  <si>
    <t>Ночь в Лиссабоне</t>
  </si>
  <si>
    <t>Три товарища</t>
  </si>
  <si>
    <t>Гэм</t>
  </si>
  <si>
    <t>Триумфальная арка</t>
  </si>
  <si>
    <t>Жизнь взаймы</t>
  </si>
  <si>
    <t>А. Адамский</t>
  </si>
  <si>
    <t>Интегральный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</si>
</sst>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&quot;р.&quot;"/>
    <numFmt numFmtId="165" formatCode="#,##0.00&quot;₽&quot;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165" fontId="1" fillId="0" borderId="0" xfId="0" applyNumberFormat="1" applyFont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" fillId="0" borderId="7" xfId="0" applyNumberFormat="1" applyFont="1" applyBorder="1" applyAlignment="1">
      <alignment horizontal="center" vertical="center" wrapText="1"/>
    </xf>
    <xf numFmtId="165" fontId="1" fillId="0" borderId="5" xfId="0" applyNumberFormat="1" applyFont="1" applyBorder="1" applyAlignment="1">
      <alignment horizontal="center" vertical="center" wrapText="1"/>
    </xf>
    <xf numFmtId="165" fontId="1" fillId="0" borderId="8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14</xdr:row>
          <xdr:rowOff>161925</xdr:rowOff>
        </xdr:from>
        <xdr:to>
          <xdr:col>8</xdr:col>
          <xdr:colOff>952500</xdr:colOff>
          <xdr:row>17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85725</xdr:rowOff>
        </xdr:from>
        <xdr:to>
          <xdr:col>8</xdr:col>
          <xdr:colOff>1047750</xdr:colOff>
          <xdr:row>19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Об авторе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45029</xdr:colOff>
          <xdr:row>12</xdr:row>
          <xdr:rowOff>109682</xdr:rowOff>
        </xdr:from>
        <xdr:to>
          <xdr:col>8</xdr:col>
          <xdr:colOff>1051215</xdr:colOff>
          <xdr:row>14</xdr:row>
          <xdr:rowOff>128732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18"/>
  <sheetViews>
    <sheetView topLeftCell="G1" zoomScale="68" zoomScaleNormal="68" workbookViewId="0">
      <selection activeCell="O8" sqref="O8"/>
    </sheetView>
  </sheetViews>
  <sheetFormatPr defaultRowHeight="15" x14ac:dyDescent="0.25"/>
  <cols>
    <col min="1" max="1" width="20" customWidth="1"/>
    <col min="2" max="2" width="17" customWidth="1"/>
    <col min="3" max="3" width="17.7109375" customWidth="1"/>
    <col min="4" max="4" width="20.7109375" customWidth="1"/>
    <col min="5" max="5" width="19.5703125" customWidth="1"/>
    <col min="6" max="6" width="15.85546875" customWidth="1"/>
    <col min="7" max="7" width="15.42578125" customWidth="1"/>
    <col min="9" max="9" width="16" customWidth="1"/>
    <col min="10" max="10" width="13.42578125" customWidth="1"/>
    <col min="11" max="11" width="18.140625" customWidth="1"/>
    <col min="12" max="12" width="12.7109375" customWidth="1"/>
    <col min="13" max="13" width="18.7109375" customWidth="1"/>
    <col min="14" max="14" width="18.140625" customWidth="1"/>
    <col min="15" max="16" width="18.7109375" customWidth="1"/>
  </cols>
  <sheetData>
    <row r="1" spans="1:16" ht="51" customHeight="1" x14ac:dyDescent="0.25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15</v>
      </c>
      <c r="G1" s="8" t="s">
        <v>14</v>
      </c>
      <c r="H1" s="8" t="s">
        <v>5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12</v>
      </c>
      <c r="P1" s="9" t="s">
        <v>13</v>
      </c>
    </row>
    <row r="2" spans="1:16" ht="31.5" x14ac:dyDescent="0.25">
      <c r="A2" s="10" t="s">
        <v>31</v>
      </c>
      <c r="B2" s="11" t="s">
        <v>32</v>
      </c>
      <c r="C2" s="11" t="s">
        <v>23</v>
      </c>
      <c r="D2" s="11">
        <v>218</v>
      </c>
      <c r="E2" s="11">
        <v>55</v>
      </c>
      <c r="F2" s="11">
        <v>0</v>
      </c>
      <c r="G2" s="11">
        <v>0</v>
      </c>
      <c r="H2" s="11">
        <v>62000</v>
      </c>
      <c r="I2" s="11" t="s">
        <v>16</v>
      </c>
      <c r="J2" s="15">
        <f>IF($I2="Офсетная",6,IF($I2="Типографская",3.5,IF($I2="Газетная",1)))</f>
        <v>6</v>
      </c>
      <c r="K2" s="11" t="s">
        <v>17</v>
      </c>
      <c r="L2" s="15">
        <f t="shared" ref="L2:L9" si="0">IF($K2="Твердый 7Б",223,IF($K2="Твердый 7БЦ",226,IF($K2="Твердый 7Б и 7Т",233,IF($K2="Мягкий КБС",12,IF($K2="Интегральный",270)))))</f>
        <v>223</v>
      </c>
      <c r="M2" s="15">
        <f>($J2*$E2+$L2)*$H2</f>
        <v>34286000</v>
      </c>
      <c r="N2" s="15">
        <f>$M2*0.1</f>
        <v>3428600</v>
      </c>
      <c r="O2" s="15">
        <f>$M2*0.45</f>
        <v>15428700</v>
      </c>
      <c r="P2" s="19">
        <f>$M2+$N2+$O2</f>
        <v>53143300</v>
      </c>
    </row>
    <row r="3" spans="1:16" ht="47.25" x14ac:dyDescent="0.25">
      <c r="A3" s="10" t="s">
        <v>31</v>
      </c>
      <c r="B3" s="11" t="s">
        <v>33</v>
      </c>
      <c r="C3" s="11" t="s">
        <v>24</v>
      </c>
      <c r="D3" s="11">
        <v>322</v>
      </c>
      <c r="E3" s="11">
        <v>81</v>
      </c>
      <c r="F3" s="11">
        <v>1</v>
      </c>
      <c r="G3" s="11">
        <v>0</v>
      </c>
      <c r="H3" s="11">
        <v>110000</v>
      </c>
      <c r="I3" s="11" t="s">
        <v>20</v>
      </c>
      <c r="J3" s="15">
        <f t="shared" ref="J3:J9" si="1">IF($I3="Офсетная",6,IF($I3="Типографская",3.5,IF($I3="Газетная",1)))</f>
        <v>3.5</v>
      </c>
      <c r="K3" s="11" t="s">
        <v>18</v>
      </c>
      <c r="L3" s="15">
        <f t="shared" si="0"/>
        <v>226</v>
      </c>
      <c r="M3" s="15">
        <f t="shared" ref="M3:M9" si="2">($J3*$E3+$L3)*$H3</f>
        <v>56045000</v>
      </c>
      <c r="N3" s="15">
        <f t="shared" ref="N3:N9" si="3">$M3*0.1</f>
        <v>5604500</v>
      </c>
      <c r="O3" s="15">
        <f t="shared" ref="O3:O9" si="4">$M3*0.45</f>
        <v>25220250</v>
      </c>
      <c r="P3" s="19">
        <f t="shared" ref="P3:P9" si="5">$M3+$N3+$O3</f>
        <v>86869750</v>
      </c>
    </row>
    <row r="4" spans="1:16" ht="31.5" x14ac:dyDescent="0.25">
      <c r="A4" s="10" t="s">
        <v>31</v>
      </c>
      <c r="B4" s="11" t="s">
        <v>34</v>
      </c>
      <c r="C4" s="11" t="s">
        <v>25</v>
      </c>
      <c r="D4" s="11">
        <v>267</v>
      </c>
      <c r="E4" s="11">
        <v>67</v>
      </c>
      <c r="F4" s="11">
        <v>1</v>
      </c>
      <c r="G4" s="11">
        <v>0</v>
      </c>
      <c r="H4" s="11">
        <v>49000</v>
      </c>
      <c r="I4" s="11" t="s">
        <v>20</v>
      </c>
      <c r="J4" s="15">
        <f t="shared" si="1"/>
        <v>3.5</v>
      </c>
      <c r="K4" s="11" t="s">
        <v>22</v>
      </c>
      <c r="L4" s="15">
        <f t="shared" si="0"/>
        <v>233</v>
      </c>
      <c r="M4" s="15">
        <f t="shared" si="2"/>
        <v>22907500</v>
      </c>
      <c r="N4" s="15">
        <f t="shared" si="3"/>
        <v>2290750</v>
      </c>
      <c r="O4" s="15">
        <f t="shared" si="4"/>
        <v>10308375</v>
      </c>
      <c r="P4" s="19">
        <f t="shared" si="5"/>
        <v>35506625</v>
      </c>
    </row>
    <row r="5" spans="1:16" ht="31.5" x14ac:dyDescent="0.25">
      <c r="A5" s="10" t="s">
        <v>31</v>
      </c>
      <c r="B5" s="11" t="s">
        <v>35</v>
      </c>
      <c r="C5" s="11" t="s">
        <v>26</v>
      </c>
      <c r="D5" s="11">
        <v>381</v>
      </c>
      <c r="E5" s="11">
        <v>96</v>
      </c>
      <c r="F5" s="11">
        <v>2</v>
      </c>
      <c r="G5" s="11">
        <v>0</v>
      </c>
      <c r="H5" s="11">
        <v>140000</v>
      </c>
      <c r="I5" s="11" t="s">
        <v>16</v>
      </c>
      <c r="J5" s="15">
        <f t="shared" si="1"/>
        <v>6</v>
      </c>
      <c r="K5" s="11" t="s">
        <v>17</v>
      </c>
      <c r="L5" s="15">
        <f t="shared" si="0"/>
        <v>223</v>
      </c>
      <c r="M5" s="15">
        <f t="shared" si="2"/>
        <v>111860000</v>
      </c>
      <c r="N5" s="15">
        <f t="shared" si="3"/>
        <v>11186000</v>
      </c>
      <c r="O5" s="15">
        <f t="shared" si="4"/>
        <v>50337000</v>
      </c>
      <c r="P5" s="19">
        <f t="shared" si="5"/>
        <v>173383000</v>
      </c>
    </row>
    <row r="6" spans="1:16" ht="31.5" x14ac:dyDescent="0.25">
      <c r="A6" s="10" t="s">
        <v>31</v>
      </c>
      <c r="B6" s="11" t="s">
        <v>36</v>
      </c>
      <c r="C6" s="11" t="s">
        <v>27</v>
      </c>
      <c r="D6" s="11">
        <v>195</v>
      </c>
      <c r="E6" s="11">
        <v>49</v>
      </c>
      <c r="F6" s="11">
        <v>2</v>
      </c>
      <c r="G6" s="11">
        <v>0</v>
      </c>
      <c r="H6" s="11">
        <v>31000</v>
      </c>
      <c r="I6" s="11" t="s">
        <v>20</v>
      </c>
      <c r="J6" s="15">
        <f t="shared" si="1"/>
        <v>3.5</v>
      </c>
      <c r="K6" s="11" t="s">
        <v>40</v>
      </c>
      <c r="L6" s="15">
        <f t="shared" si="0"/>
        <v>270</v>
      </c>
      <c r="M6" s="15">
        <f t="shared" si="2"/>
        <v>13686500</v>
      </c>
      <c r="N6" s="15">
        <f t="shared" si="3"/>
        <v>1368650</v>
      </c>
      <c r="O6" s="15">
        <f t="shared" si="4"/>
        <v>6158925</v>
      </c>
      <c r="P6" s="19">
        <f t="shared" si="5"/>
        <v>21214075</v>
      </c>
    </row>
    <row r="7" spans="1:16" ht="31.5" x14ac:dyDescent="0.25">
      <c r="A7" s="10" t="s">
        <v>31</v>
      </c>
      <c r="B7" s="11" t="s">
        <v>37</v>
      </c>
      <c r="C7" s="11" t="s">
        <v>28</v>
      </c>
      <c r="D7" s="11">
        <v>197</v>
      </c>
      <c r="E7" s="11">
        <v>50</v>
      </c>
      <c r="F7" s="11">
        <v>0</v>
      </c>
      <c r="G7" s="11">
        <v>0</v>
      </c>
      <c r="H7" s="11">
        <v>167000</v>
      </c>
      <c r="I7" s="11" t="s">
        <v>20</v>
      </c>
      <c r="J7" s="15">
        <f t="shared" si="1"/>
        <v>3.5</v>
      </c>
      <c r="K7" s="11" t="s">
        <v>19</v>
      </c>
      <c r="L7" s="15">
        <f t="shared" si="0"/>
        <v>12</v>
      </c>
      <c r="M7" s="15">
        <f t="shared" si="2"/>
        <v>31229000</v>
      </c>
      <c r="N7" s="15">
        <f t="shared" si="3"/>
        <v>3122900</v>
      </c>
      <c r="O7" s="15">
        <f t="shared" si="4"/>
        <v>14053050</v>
      </c>
      <c r="P7" s="19">
        <f t="shared" si="5"/>
        <v>48404950</v>
      </c>
    </row>
    <row r="8" spans="1:16" ht="31.5" x14ac:dyDescent="0.25">
      <c r="A8" s="10" t="s">
        <v>39</v>
      </c>
      <c r="B8" s="11" t="s">
        <v>29</v>
      </c>
      <c r="C8" s="11" t="s">
        <v>29</v>
      </c>
      <c r="D8" s="11">
        <v>24</v>
      </c>
      <c r="E8" s="11">
        <v>6</v>
      </c>
      <c r="F8" s="11">
        <v>1</v>
      </c>
      <c r="G8" s="11">
        <v>2</v>
      </c>
      <c r="H8" s="11">
        <v>140000</v>
      </c>
      <c r="I8" s="11" t="s">
        <v>21</v>
      </c>
      <c r="J8" s="15">
        <f t="shared" si="1"/>
        <v>1</v>
      </c>
      <c r="K8" s="11" t="s">
        <v>19</v>
      </c>
      <c r="L8" s="15">
        <f t="shared" si="0"/>
        <v>12</v>
      </c>
      <c r="M8" s="15">
        <f t="shared" si="2"/>
        <v>2520000</v>
      </c>
      <c r="N8" s="15">
        <f t="shared" si="3"/>
        <v>252000</v>
      </c>
      <c r="O8" s="15">
        <f t="shared" si="4"/>
        <v>1134000</v>
      </c>
      <c r="P8" s="19">
        <f t="shared" si="5"/>
        <v>3906000</v>
      </c>
    </row>
    <row r="9" spans="1:16" ht="31.5" x14ac:dyDescent="0.25">
      <c r="A9" s="12" t="s">
        <v>31</v>
      </c>
      <c r="B9" s="13" t="s">
        <v>38</v>
      </c>
      <c r="C9" s="13" t="s">
        <v>30</v>
      </c>
      <c r="D9" s="13">
        <v>234</v>
      </c>
      <c r="E9" s="13">
        <v>59</v>
      </c>
      <c r="F9" s="13">
        <v>3</v>
      </c>
      <c r="G9" s="13">
        <v>0</v>
      </c>
      <c r="H9" s="13">
        <v>35000</v>
      </c>
      <c r="I9" s="13" t="s">
        <v>20</v>
      </c>
      <c r="J9" s="18">
        <f t="shared" si="1"/>
        <v>3.5</v>
      </c>
      <c r="K9" s="13" t="s">
        <v>17</v>
      </c>
      <c r="L9" s="18">
        <f t="shared" si="0"/>
        <v>223</v>
      </c>
      <c r="M9" s="18">
        <f t="shared" si="2"/>
        <v>15032500</v>
      </c>
      <c r="N9" s="18">
        <f t="shared" si="3"/>
        <v>1503250</v>
      </c>
      <c r="O9" s="18">
        <f t="shared" si="4"/>
        <v>6764625</v>
      </c>
      <c r="P9" s="20">
        <f t="shared" si="5"/>
        <v>23300375</v>
      </c>
    </row>
    <row r="10" spans="1:16" ht="15.75" x14ac:dyDescent="0.25">
      <c r="A10" s="2"/>
      <c r="B10" s="2"/>
      <c r="C10" s="2"/>
      <c r="D10" s="2"/>
      <c r="E10" s="2"/>
      <c r="F10" s="2"/>
      <c r="G10" s="2"/>
      <c r="H10" s="2"/>
      <c r="I10" s="2"/>
      <c r="J10" s="3"/>
      <c r="K10" s="2"/>
      <c r="L10" s="3"/>
      <c r="M10" s="3"/>
      <c r="N10" s="3"/>
      <c r="O10" s="3"/>
      <c r="P10" s="3"/>
    </row>
    <row r="11" spans="1:16" ht="15.75" x14ac:dyDescent="0.25">
      <c r="A11" s="2"/>
      <c r="B11" s="2"/>
      <c r="C11" s="2"/>
      <c r="D11" s="2"/>
      <c r="E11" s="2"/>
      <c r="F11" s="2"/>
      <c r="G11" s="2"/>
      <c r="H11" s="2"/>
      <c r="I11" s="2"/>
      <c r="J11" s="3"/>
      <c r="K11" s="2"/>
      <c r="L11" s="3"/>
      <c r="M11" s="3"/>
      <c r="N11" s="3"/>
      <c r="O11" s="3"/>
      <c r="P11" s="3"/>
    </row>
    <row r="12" spans="1:16" ht="15.75" x14ac:dyDescent="0.25">
      <c r="A12" s="2"/>
      <c r="B12" s="2"/>
      <c r="C12" s="2"/>
      <c r="D12" s="2"/>
      <c r="E12" s="2"/>
      <c r="F12" s="2"/>
      <c r="G12" s="2"/>
      <c r="H12" s="2"/>
      <c r="I12" s="2"/>
      <c r="J12" s="3"/>
      <c r="K12" s="2"/>
      <c r="L12" s="3"/>
      <c r="M12" s="3"/>
      <c r="N12" s="3"/>
      <c r="O12" s="3"/>
      <c r="P12" s="3"/>
    </row>
    <row r="13" spans="1:16" ht="15.75" x14ac:dyDescent="0.25">
      <c r="A13" s="2"/>
      <c r="B13" s="2"/>
      <c r="C13" s="2"/>
      <c r="D13" s="2"/>
      <c r="E13" s="2"/>
      <c r="F13" s="2"/>
      <c r="G13" s="2"/>
      <c r="H13" s="2"/>
      <c r="I13" s="2"/>
      <c r="J13" s="3"/>
      <c r="K13" s="2"/>
      <c r="L13" s="3"/>
      <c r="M13" s="3"/>
      <c r="N13" s="3"/>
      <c r="O13" s="3"/>
      <c r="P13" s="3"/>
    </row>
    <row r="14" spans="1:16" ht="15.75" x14ac:dyDescent="0.25">
      <c r="A14" s="2"/>
      <c r="B14" s="2"/>
      <c r="C14" s="2"/>
      <c r="D14" s="2"/>
      <c r="E14" s="2"/>
      <c r="F14" s="2"/>
      <c r="G14" s="2"/>
      <c r="H14" s="2"/>
      <c r="I14" s="2"/>
      <c r="J14" s="3"/>
      <c r="K14" s="2"/>
      <c r="L14" s="3"/>
      <c r="M14" s="3"/>
      <c r="N14" s="3"/>
      <c r="O14" s="3"/>
      <c r="P14" s="3"/>
    </row>
    <row r="15" spans="1:16" ht="15.75" x14ac:dyDescent="0.25">
      <c r="A15" s="2"/>
      <c r="B15" s="2"/>
      <c r="C15" s="2"/>
      <c r="D15" s="2"/>
      <c r="E15" s="2"/>
      <c r="F15" s="2"/>
      <c r="G15" s="2"/>
      <c r="H15" s="2"/>
      <c r="I15" s="2"/>
      <c r="J15" s="3"/>
      <c r="K15" s="2"/>
      <c r="L15" s="3"/>
      <c r="M15" s="3"/>
      <c r="N15" s="3"/>
      <c r="O15" s="3"/>
      <c r="P15" s="3"/>
    </row>
    <row r="16" spans="1:16" ht="15.75" x14ac:dyDescent="0.25">
      <c r="A16" s="4"/>
      <c r="B16" s="4"/>
      <c r="C16" s="4"/>
      <c r="D16" s="4"/>
      <c r="E16" s="4"/>
      <c r="F16" s="4"/>
      <c r="G16" s="4"/>
      <c r="H16" s="4"/>
      <c r="I16" s="4"/>
      <c r="J16" s="5"/>
      <c r="K16" s="4"/>
      <c r="L16" s="5"/>
      <c r="M16" s="5"/>
      <c r="N16" s="5"/>
      <c r="O16" s="5"/>
      <c r="P16" s="5"/>
    </row>
    <row r="17" spans="1:16" ht="15.75" x14ac:dyDescent="0.25">
      <c r="A17" s="4"/>
      <c r="B17" s="4"/>
      <c r="C17" s="4"/>
      <c r="D17" s="4"/>
      <c r="E17" s="4"/>
      <c r="F17" s="4"/>
      <c r="G17" s="4"/>
      <c r="H17" s="4"/>
      <c r="I17" s="4"/>
      <c r="J17" s="5"/>
      <c r="K17" s="4"/>
      <c r="L17" s="5"/>
      <c r="M17" s="5"/>
      <c r="N17" s="5"/>
      <c r="O17" s="5"/>
      <c r="P17" s="5"/>
    </row>
    <row r="18" spans="1:16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P26"/>
  <sheetViews>
    <sheetView tabSelected="1" zoomScale="66" zoomScaleNormal="66" workbookViewId="0">
      <selection activeCell="K16" sqref="K16"/>
    </sheetView>
  </sheetViews>
  <sheetFormatPr defaultRowHeight="15" x14ac:dyDescent="0.25"/>
  <cols>
    <col min="1" max="1" width="21.5703125" customWidth="1"/>
    <col min="2" max="2" width="18.85546875" customWidth="1"/>
    <col min="3" max="3" width="17.7109375" customWidth="1"/>
    <col min="4" max="4" width="19.28515625" customWidth="1"/>
    <col min="5" max="5" width="17.140625" customWidth="1"/>
    <col min="6" max="6" width="15.28515625" customWidth="1"/>
    <col min="7" max="7" width="15.7109375" customWidth="1"/>
    <col min="8" max="8" width="10.7109375" customWidth="1"/>
    <col min="9" max="9" width="16.140625" customWidth="1"/>
    <col min="10" max="10" width="16.28515625" customWidth="1"/>
    <col min="11" max="11" width="18.7109375" customWidth="1"/>
    <col min="12" max="12" width="14.5703125" customWidth="1"/>
    <col min="13" max="13" width="24.5703125" customWidth="1"/>
    <col min="14" max="14" width="18" customWidth="1"/>
    <col min="15" max="15" width="19.140625" customWidth="1"/>
    <col min="16" max="16" width="20.28515625" customWidth="1"/>
  </cols>
  <sheetData>
    <row r="1" spans="1:16" ht="47.25" x14ac:dyDescent="0.25">
      <c r="A1" s="1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15</v>
      </c>
      <c r="G1" s="14" t="s">
        <v>14</v>
      </c>
      <c r="H1" s="14" t="s">
        <v>5</v>
      </c>
      <c r="I1" s="14" t="s">
        <v>6</v>
      </c>
      <c r="J1" s="14" t="s">
        <v>7</v>
      </c>
      <c r="K1" s="14" t="s">
        <v>8</v>
      </c>
      <c r="L1" s="14" t="s">
        <v>9</v>
      </c>
      <c r="M1" s="14" t="s">
        <v>10</v>
      </c>
      <c r="N1" s="14" t="s">
        <v>11</v>
      </c>
      <c r="O1" s="14" t="s">
        <v>12</v>
      </c>
      <c r="P1" s="14" t="s">
        <v>13</v>
      </c>
    </row>
    <row r="2" spans="1:16" ht="15.75" x14ac:dyDescent="0.25">
      <c r="A2" s="2" t="s">
        <v>31</v>
      </c>
      <c r="B2" s="11" t="s">
        <v>32</v>
      </c>
      <c r="C2" s="11" t="s">
        <v>23</v>
      </c>
      <c r="D2" s="11">
        <v>218</v>
      </c>
      <c r="E2" s="11">
        <v>55</v>
      </c>
      <c r="F2" s="11">
        <v>0</v>
      </c>
      <c r="G2" s="11">
        <v>0</v>
      </c>
      <c r="H2" s="11">
        <v>62000</v>
      </c>
      <c r="I2" s="11" t="s">
        <v>16</v>
      </c>
      <c r="J2" s="15">
        <v>6</v>
      </c>
      <c r="K2" s="11" t="s">
        <v>17</v>
      </c>
      <c r="L2" s="15">
        <v>223</v>
      </c>
      <c r="M2" s="15">
        <v>34286000</v>
      </c>
      <c r="N2" s="15">
        <v>3428600</v>
      </c>
      <c r="O2" s="15">
        <v>15428700</v>
      </c>
      <c r="P2" s="15">
        <v>53143300</v>
      </c>
    </row>
    <row r="3" spans="1:16" ht="31.5" x14ac:dyDescent="0.25">
      <c r="A3" s="2" t="s">
        <v>31</v>
      </c>
      <c r="B3" s="11" t="s">
        <v>33</v>
      </c>
      <c r="C3" s="11" t="s">
        <v>24</v>
      </c>
      <c r="D3" s="11">
        <v>322</v>
      </c>
      <c r="E3" s="11">
        <v>81</v>
      </c>
      <c r="F3" s="11">
        <v>1</v>
      </c>
      <c r="G3" s="11">
        <v>0</v>
      </c>
      <c r="H3" s="11">
        <v>110000</v>
      </c>
      <c r="I3" s="11" t="s">
        <v>20</v>
      </c>
      <c r="J3" s="15">
        <v>3.5</v>
      </c>
      <c r="K3" s="11" t="s">
        <v>18</v>
      </c>
      <c r="L3" s="15">
        <v>226</v>
      </c>
      <c r="M3" s="15">
        <v>56045000</v>
      </c>
      <c r="N3" s="15">
        <v>5604500</v>
      </c>
      <c r="O3" s="15">
        <v>25220250</v>
      </c>
      <c r="P3" s="15">
        <v>86869750</v>
      </c>
    </row>
    <row r="4" spans="1:16" ht="31.5" x14ac:dyDescent="0.25">
      <c r="A4" s="2" t="s">
        <v>31</v>
      </c>
      <c r="B4" s="11" t="s">
        <v>34</v>
      </c>
      <c r="C4" s="11" t="s">
        <v>25</v>
      </c>
      <c r="D4" s="11">
        <v>267</v>
      </c>
      <c r="E4" s="11">
        <v>67</v>
      </c>
      <c r="F4" s="11">
        <v>1</v>
      </c>
      <c r="G4" s="11">
        <v>0</v>
      </c>
      <c r="H4" s="11">
        <v>49000</v>
      </c>
      <c r="I4" s="11" t="s">
        <v>20</v>
      </c>
      <c r="J4" s="15">
        <v>3.5</v>
      </c>
      <c r="K4" s="11" t="s">
        <v>22</v>
      </c>
      <c r="L4" s="15">
        <v>233</v>
      </c>
      <c r="M4" s="15">
        <v>22907500</v>
      </c>
      <c r="N4" s="15">
        <v>2290750</v>
      </c>
      <c r="O4" s="15">
        <v>10308375</v>
      </c>
      <c r="P4" s="15">
        <v>35506625</v>
      </c>
    </row>
    <row r="5" spans="1:16" ht="15.75" x14ac:dyDescent="0.25">
      <c r="A5" s="2" t="s">
        <v>31</v>
      </c>
      <c r="B5" s="11" t="s">
        <v>35</v>
      </c>
      <c r="C5" s="11" t="s">
        <v>26</v>
      </c>
      <c r="D5" s="11">
        <v>381</v>
      </c>
      <c r="E5" s="11">
        <v>96</v>
      </c>
      <c r="F5" s="11">
        <v>2</v>
      </c>
      <c r="G5" s="11">
        <v>0</v>
      </c>
      <c r="H5" s="11">
        <v>140000</v>
      </c>
      <c r="I5" s="11" t="s">
        <v>16</v>
      </c>
      <c r="J5" s="15">
        <v>6</v>
      </c>
      <c r="K5" s="11" t="s">
        <v>17</v>
      </c>
      <c r="L5" s="15">
        <v>223</v>
      </c>
      <c r="M5" s="15">
        <v>111860000</v>
      </c>
      <c r="N5" s="15">
        <v>11186000</v>
      </c>
      <c r="O5" s="15">
        <v>50337000</v>
      </c>
      <c r="P5" s="15">
        <v>173383000</v>
      </c>
    </row>
    <row r="6" spans="1:16" ht="15.75" x14ac:dyDescent="0.25">
      <c r="A6" s="2" t="s">
        <v>31</v>
      </c>
      <c r="B6" s="11" t="s">
        <v>36</v>
      </c>
      <c r="C6" s="11" t="s">
        <v>27</v>
      </c>
      <c r="D6" s="11">
        <v>195</v>
      </c>
      <c r="E6" s="11">
        <v>49</v>
      </c>
      <c r="F6" s="11">
        <v>2</v>
      </c>
      <c r="G6" s="11">
        <v>0</v>
      </c>
      <c r="H6" s="11">
        <v>31000</v>
      </c>
      <c r="I6" s="11" t="s">
        <v>20</v>
      </c>
      <c r="J6" s="15">
        <v>3.5</v>
      </c>
      <c r="K6" s="11" t="s">
        <v>40</v>
      </c>
      <c r="L6" s="15">
        <v>270</v>
      </c>
      <c r="M6" s="15">
        <v>13686500</v>
      </c>
      <c r="N6" s="15">
        <v>1368650</v>
      </c>
      <c r="O6" s="15">
        <v>6158925</v>
      </c>
      <c r="P6" s="15">
        <v>21214075</v>
      </c>
    </row>
    <row r="7" spans="1:16" ht="31.5" x14ac:dyDescent="0.25">
      <c r="A7" s="2" t="s">
        <v>31</v>
      </c>
      <c r="B7" s="11" t="s">
        <v>37</v>
      </c>
      <c r="C7" s="11" t="s">
        <v>28</v>
      </c>
      <c r="D7" s="11">
        <v>197</v>
      </c>
      <c r="E7" s="11">
        <v>50</v>
      </c>
      <c r="F7" s="11">
        <v>0</v>
      </c>
      <c r="G7" s="11">
        <v>0</v>
      </c>
      <c r="H7" s="11">
        <v>167000</v>
      </c>
      <c r="I7" s="11" t="s">
        <v>20</v>
      </c>
      <c r="J7" s="15">
        <v>3.5</v>
      </c>
      <c r="K7" s="11" t="s">
        <v>19</v>
      </c>
      <c r="L7" s="15">
        <v>12</v>
      </c>
      <c r="M7" s="15">
        <v>31229000</v>
      </c>
      <c r="N7" s="15">
        <v>3122900</v>
      </c>
      <c r="O7" s="15">
        <v>14053050</v>
      </c>
      <c r="P7" s="15">
        <v>48404950</v>
      </c>
    </row>
    <row r="8" spans="1:16" ht="31.5" x14ac:dyDescent="0.25">
      <c r="A8" s="2" t="s">
        <v>39</v>
      </c>
      <c r="B8" s="11" t="s">
        <v>29</v>
      </c>
      <c r="C8" s="11" t="s">
        <v>29</v>
      </c>
      <c r="D8" s="11">
        <v>24</v>
      </c>
      <c r="E8" s="11">
        <v>6</v>
      </c>
      <c r="F8" s="11">
        <v>1</v>
      </c>
      <c r="G8" s="11">
        <v>2</v>
      </c>
      <c r="H8" s="11">
        <v>140000</v>
      </c>
      <c r="I8" s="11" t="s">
        <v>21</v>
      </c>
      <c r="J8" s="15">
        <v>1</v>
      </c>
      <c r="K8" s="11" t="s">
        <v>19</v>
      </c>
      <c r="L8" s="15">
        <v>12</v>
      </c>
      <c r="M8" s="15">
        <v>2520000</v>
      </c>
      <c r="N8" s="15">
        <v>252000</v>
      </c>
      <c r="O8" s="15">
        <v>1134000</v>
      </c>
      <c r="P8" s="15">
        <v>3906000</v>
      </c>
    </row>
    <row r="9" spans="1:16" ht="15.75" x14ac:dyDescent="0.25">
      <c r="A9" s="2" t="s">
        <v>31</v>
      </c>
      <c r="B9" s="11" t="s">
        <v>38</v>
      </c>
      <c r="C9" s="11" t="s">
        <v>30</v>
      </c>
      <c r="D9" s="11">
        <v>234</v>
      </c>
      <c r="E9" s="11">
        <v>59</v>
      </c>
      <c r="F9" s="11">
        <v>3</v>
      </c>
      <c r="G9" s="11">
        <v>0</v>
      </c>
      <c r="H9" s="11">
        <v>35000</v>
      </c>
      <c r="I9" s="11" t="s">
        <v>20</v>
      </c>
      <c r="J9" s="15">
        <v>3.5</v>
      </c>
      <c r="K9" s="11" t="s">
        <v>17</v>
      </c>
      <c r="L9" s="15">
        <v>223</v>
      </c>
      <c r="M9" s="15">
        <v>15032500</v>
      </c>
      <c r="N9" s="15">
        <v>1503250</v>
      </c>
      <c r="O9" s="15">
        <v>6764625</v>
      </c>
      <c r="P9" s="15">
        <v>23300375</v>
      </c>
    </row>
    <row r="10" spans="1:16" ht="15.75" x14ac:dyDescent="0.25">
      <c r="A10" s="2"/>
      <c r="B10" s="2"/>
      <c r="C10" s="2"/>
      <c r="D10" s="2"/>
      <c r="E10" s="2"/>
      <c r="F10" s="2"/>
      <c r="G10" s="2"/>
      <c r="H10" s="2"/>
      <c r="I10" s="2"/>
      <c r="J10" s="16"/>
      <c r="K10" s="2"/>
      <c r="L10" s="16"/>
      <c r="M10" s="16"/>
      <c r="N10" s="16"/>
      <c r="O10" s="16"/>
      <c r="P10" s="16"/>
    </row>
    <row r="11" spans="1:16" ht="15.75" x14ac:dyDescent="0.25">
      <c r="A11" s="2"/>
      <c r="B11" s="2"/>
      <c r="C11" s="2"/>
      <c r="D11" s="2"/>
      <c r="E11" s="2"/>
      <c r="F11" s="2"/>
      <c r="G11" s="2"/>
      <c r="H11" s="2"/>
      <c r="I11" s="2"/>
      <c r="J11" s="16"/>
      <c r="K11" s="2"/>
      <c r="L11" s="16"/>
      <c r="M11" s="16"/>
      <c r="N11" s="16"/>
      <c r="O11" s="16"/>
      <c r="P11" s="16"/>
    </row>
    <row r="12" spans="1:16" ht="15.75" x14ac:dyDescent="0.25">
      <c r="A12" s="2"/>
      <c r="B12" s="2"/>
      <c r="C12" s="2"/>
      <c r="D12" s="2"/>
      <c r="E12" s="2"/>
      <c r="F12" s="2"/>
      <c r="G12" s="2"/>
      <c r="H12" s="2"/>
      <c r="I12" s="2"/>
      <c r="J12" s="16"/>
      <c r="K12" s="2"/>
      <c r="L12" s="16"/>
      <c r="M12" s="16"/>
      <c r="N12" s="16"/>
      <c r="O12" s="16"/>
      <c r="P12" s="16"/>
    </row>
    <row r="13" spans="1:16" ht="15.75" x14ac:dyDescent="0.25">
      <c r="A13" s="2"/>
      <c r="B13" s="2"/>
      <c r="C13" s="2"/>
      <c r="D13" s="2"/>
      <c r="E13" s="2"/>
      <c r="F13" s="2"/>
      <c r="G13" s="2"/>
      <c r="H13" s="2"/>
      <c r="I13" s="2"/>
      <c r="J13" s="16"/>
      <c r="K13" s="2"/>
      <c r="L13" s="16"/>
      <c r="M13" s="16"/>
      <c r="N13" s="16"/>
      <c r="O13" s="16"/>
      <c r="P13" s="16"/>
    </row>
    <row r="14" spans="1:16" ht="15.75" x14ac:dyDescent="0.25">
      <c r="A14" s="2"/>
      <c r="B14" s="2"/>
      <c r="C14" s="2"/>
      <c r="D14" s="2"/>
      <c r="E14" s="2"/>
      <c r="F14" s="2"/>
      <c r="G14" s="2"/>
      <c r="H14" s="2"/>
      <c r="I14" s="2"/>
      <c r="J14" s="16"/>
      <c r="K14" s="2"/>
      <c r="L14" s="16"/>
      <c r="M14" s="16"/>
      <c r="N14" s="16"/>
      <c r="O14" s="16"/>
      <c r="P14" s="16"/>
    </row>
    <row r="15" spans="1:16" ht="15.75" x14ac:dyDescent="0.25">
      <c r="A15" s="2"/>
      <c r="B15" s="2"/>
      <c r="C15" s="2"/>
      <c r="D15" s="2"/>
      <c r="E15" s="2"/>
      <c r="F15" s="2"/>
      <c r="G15" s="2"/>
      <c r="H15" s="2"/>
      <c r="I15" s="2"/>
      <c r="J15" s="16"/>
      <c r="K15" s="2"/>
      <c r="L15" s="16"/>
      <c r="M15" s="16"/>
      <c r="N15" s="16"/>
      <c r="O15" s="16"/>
      <c r="P15" s="16"/>
    </row>
    <row r="16" spans="1:16" ht="15.75" x14ac:dyDescent="0.25">
      <c r="A16" s="2"/>
      <c r="B16" s="2"/>
      <c r="C16" s="2"/>
      <c r="D16" s="2"/>
      <c r="E16" s="2"/>
      <c r="F16" s="2"/>
      <c r="G16" s="2"/>
      <c r="H16" s="2"/>
      <c r="I16" s="2"/>
      <c r="J16" s="16"/>
      <c r="K16" s="2"/>
      <c r="L16" s="16"/>
      <c r="M16" s="16"/>
      <c r="N16" s="16"/>
      <c r="O16" s="16"/>
      <c r="P16" s="16"/>
    </row>
    <row r="17" spans="1:16" ht="15.75" x14ac:dyDescent="0.25">
      <c r="A17" s="2"/>
      <c r="B17" s="2"/>
      <c r="C17" s="2"/>
      <c r="D17" s="2"/>
      <c r="E17" s="2"/>
      <c r="F17" s="2"/>
      <c r="G17" s="2"/>
      <c r="H17" s="2"/>
      <c r="I17" s="2"/>
      <c r="J17" s="16"/>
      <c r="K17" s="2"/>
      <c r="L17" s="16"/>
      <c r="M17" s="16"/>
      <c r="N17" s="16"/>
      <c r="O17" s="16"/>
      <c r="P17" s="16"/>
    </row>
    <row r="18" spans="1:16" x14ac:dyDescent="0.25">
      <c r="J18" s="17"/>
      <c r="L18" s="17"/>
      <c r="M18" s="17"/>
      <c r="N18" s="17"/>
      <c r="O18" s="17"/>
      <c r="P18" s="17"/>
    </row>
    <row r="19" spans="1:16" x14ac:dyDescent="0.25">
      <c r="J19" s="17"/>
      <c r="L19" s="17"/>
      <c r="M19" s="17"/>
      <c r="N19" s="17"/>
      <c r="O19" s="17"/>
      <c r="P19" s="17"/>
    </row>
    <row r="20" spans="1:16" x14ac:dyDescent="0.25">
      <c r="J20" s="17"/>
      <c r="L20" s="17"/>
      <c r="M20" s="17"/>
      <c r="N20" s="17"/>
      <c r="O20" s="17"/>
      <c r="P20" s="17"/>
    </row>
    <row r="21" spans="1:16" x14ac:dyDescent="0.25">
      <c r="J21" s="17"/>
      <c r="L21" s="17"/>
      <c r="M21" s="17"/>
      <c r="N21" s="17"/>
      <c r="O21" s="17"/>
      <c r="P21" s="17"/>
    </row>
    <row r="22" spans="1:16" x14ac:dyDescent="0.25">
      <c r="J22" s="17"/>
      <c r="L22" s="17"/>
      <c r="M22" s="17"/>
      <c r="N22" s="17"/>
      <c r="O22" s="17"/>
      <c r="P22" s="17"/>
    </row>
    <row r="23" spans="1:16" x14ac:dyDescent="0.25">
      <c r="J23" s="17"/>
      <c r="L23" s="17"/>
      <c r="M23" s="17"/>
      <c r="N23" s="17"/>
      <c r="O23" s="17"/>
      <c r="P23" s="17"/>
    </row>
    <row r="24" spans="1:16" x14ac:dyDescent="0.25">
      <c r="J24" s="17"/>
      <c r="L24" s="17"/>
      <c r="M24" s="17"/>
      <c r="N24" s="17"/>
      <c r="O24" s="17"/>
      <c r="P24" s="17"/>
    </row>
    <row r="25" spans="1:16" x14ac:dyDescent="0.25">
      <c r="J25" s="17"/>
      <c r="L25" s="17"/>
      <c r="M25" s="17"/>
      <c r="N25" s="17"/>
      <c r="O25" s="17"/>
      <c r="P25" s="17"/>
    </row>
    <row r="26" spans="1:16" x14ac:dyDescent="0.25">
      <c r="J26" s="17"/>
      <c r="L26" s="17"/>
      <c r="M26" s="17"/>
      <c r="N26" s="17"/>
      <c r="O26" s="17"/>
      <c r="P26" s="1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Очистка">
                <anchor moveWithCells="1" sizeWithCells="1">
                  <from>
                    <xdr:col>8</xdr:col>
                    <xdr:colOff>123825</xdr:colOff>
                    <xdr:row>14</xdr:row>
                    <xdr:rowOff>161925</xdr:rowOff>
                  </from>
                  <to>
                    <xdr:col>8</xdr:col>
                    <xdr:colOff>952500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Автор">
                <anchor moveWithCells="1" sizeWithCells="1">
                  <from>
                    <xdr:col>8</xdr:col>
                    <xdr:colOff>38100</xdr:colOff>
                    <xdr:row>17</xdr:row>
                    <xdr:rowOff>85725</xdr:rowOff>
                  </from>
                  <to>
                    <xdr:col>8</xdr:col>
                    <xdr:colOff>1047750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Фаткуллин_расчет_типографии">
                <anchor moveWithCells="1" sizeWithCells="1">
                  <from>
                    <xdr:col>8</xdr:col>
                    <xdr:colOff>47625</xdr:colOff>
                    <xdr:row>12</xdr:row>
                    <xdr:rowOff>114300</xdr:rowOff>
                  </from>
                  <to>
                    <xdr:col>8</xdr:col>
                    <xdr:colOff>1047750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Типография</vt:lpstr>
      <vt:lpstr>Макрос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2018-04-25T15:07:26Z</dcterms:modified>
</cp:coreProperties>
</file>